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A0E7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LN&quot;"/>
    <numFmt numFmtId="165" formatCode="+0%;-0%;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  <u val="single"/>
    </font>
    <font>
      <name val="Arial"/>
      <b val="1"/>
      <color rgb="00B5A08A"/>
      <sz val="14"/>
    </font>
    <font>
      <name val="Arial"/>
      <color rgb="00555555"/>
      <sz val="10"/>
    </font>
    <font>
      <name val="Arial"/>
      <b val="1"/>
      <color rgb="00B5A08A"/>
      <sz val="16"/>
    </font>
    <font>
      <name val="Arial"/>
      <i val="1"/>
      <color rgb="00666666"/>
      <sz val="11"/>
    </font>
    <font>
      <name val="Arial"/>
      <b val="1"/>
      <color rgb="00333333"/>
      <sz val="11"/>
    </font>
    <font>
      <name val="Arial"/>
      <color rgb="00333333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color rgb="00228B22"/>
      <sz val="10"/>
    </font>
    <font>
      <name val="Arial"/>
      <color rgb="00DAA520"/>
      <sz val="10"/>
    </font>
    <font>
      <name val="Arial"/>
      <b val="1"/>
      <color rgb="00006400"/>
      <sz val="10"/>
    </font>
    <font>
      <name val="Arial"/>
      <b val="1"/>
      <color rgb="00DC143C"/>
      <sz val="10"/>
    </font>
    <font>
      <name val="Arial"/>
      <b val="1"/>
      <color rgb="00B5A08A"/>
      <sz val="11"/>
    </font>
    <font>
      <name val="Arial"/>
      <color rgb="00666666"/>
      <sz val="9"/>
    </font>
    <font>
      <name val="Arial"/>
      <b val="1"/>
      <color rgb="00FFFFFF"/>
      <sz val="11"/>
      <u val="single"/>
    </font>
    <font>
      <name val="Arial"/>
      <b val="1"/>
      <color rgb="00B5A08A"/>
      <sz val="10"/>
    </font>
    <font>
      <name val="Arial"/>
      <i val="1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B5A08A"/>
        <bgColor rgb="00B5A08A"/>
      </patternFill>
    </fill>
    <fill>
      <patternFill patternType="solid">
        <fgColor rgb="001877F2"/>
        <bgColor rgb="001877F2"/>
      </patternFill>
    </fill>
    <fill>
      <patternFill patternType="solid">
        <fgColor rgb="00E8E0D5"/>
        <bgColor rgb="00E8E0D5"/>
      </patternFill>
    </fill>
    <fill>
      <patternFill patternType="solid">
        <fgColor rgb="00F0FFF0"/>
        <bgColor rgb="00F0FFF0"/>
      </patternFill>
    </fill>
    <fill>
      <patternFill patternType="solid">
        <fgColor rgb="00FFF8DC"/>
        <bgColor rgb="00FFF8DC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0" fontId="0" fillId="6" borderId="1" applyAlignment="1" applyProtection="1" pivotButton="0" quotePrefix="0" xfId="0">
      <alignment horizontal="center"/>
      <protection locked="0" hidden="0"/>
    </xf>
    <xf numFmtId="164" fontId="0" fillId="6" borderId="1" applyAlignment="1" applyProtection="1" pivotButton="0" quotePrefix="0" xfId="0">
      <alignment horizontal="right"/>
      <protection locked="0" hidden="0"/>
    </xf>
    <xf numFmtId="164" fontId="0" fillId="7" borderId="1" applyAlignment="1" pivotButton="0" quotePrefix="0" xfId="0">
      <alignment horizontal="right"/>
    </xf>
    <xf numFmtId="165" fontId="0" fillId="7" borderId="1" applyAlignment="1" pivotButton="0" quotePrefix="0" xfId="0">
      <alignment horizontal="center"/>
    </xf>
    <xf numFmtId="0" fontId="9" fillId="3" borderId="0" applyAlignment="1" pivotButton="0" quotePrefix="0" xfId="0">
      <alignment horizontal="right" vertical="center"/>
    </xf>
    <xf numFmtId="164" fontId="9" fillId="3" borderId="0" applyAlignment="1" pivotButton="0" quotePrefix="0" xfId="0">
      <alignment horizontal="right"/>
    </xf>
    <xf numFmtId="165" fontId="9" fillId="3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006400"/>
          <bgColor rgb="00006400"/>
        </patternFill>
      </fill>
    </dxf>
    <dxf>
      <font>
        <b val="1"/>
        <color rgb="00FFFFFF"/>
      </font>
      <fill>
        <patternFill patternType="solid">
          <fgColor rgb="00DC143C"/>
          <bgColor rgb="00DC14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acecreators.pl" TargetMode="External" Id="rId1"/><Relationship Type="http://schemas.openxmlformats.org/officeDocument/2006/relationships/hyperlink" Target="https://www.facebook.com/profile.php?id=61587139472371" TargetMode="External" Id="rId2"/><Relationship Type="http://schemas.openxmlformats.org/officeDocument/2006/relationships/hyperlink" Target="https://www.spacecreators.pl" TargetMode="External" Id="rId3"/><Relationship Type="http://schemas.openxmlformats.org/officeDocument/2006/relationships/hyperlink" Target="https://www.facebook.com/profile.php?id=61587139472371" TargetMode="External" Id="rId4"/><Relationship Type="http://schemas.openxmlformats.org/officeDocument/2006/relationships/hyperlink" Target="mailto:kontakt@spacecreators.p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0" customWidth="1" min="4" max="4"/>
    <col width="15" customWidth="1" min="5" max="5"/>
    <col width="18" customWidth="1" min="6" max="6"/>
    <col width="18" customWidth="1" min="7" max="7"/>
    <col width="15" customWidth="1" min="8" max="8"/>
    <col width="12" customWidth="1" min="9" max="9"/>
  </cols>
  <sheetData>
    <row r="1" ht="35" customHeight="1">
      <c r="A1" s="1" t="inlineStr">
        <is>
          <t>✨ SPACE CREATORS - Projektujemy i realizujemy przestrzenie Twoich marzeń ✨</t>
        </is>
      </c>
    </row>
    <row r="2" ht="32" customHeight="1">
      <c r="A2" s="2" t="inlineStr">
        <is>
          <t>🌐 ODWIEDŹ NASZĄ STRONĘ</t>
        </is>
      </c>
      <c r="E2" s="3" t="inlineStr">
        <is>
          <t>📘 POLUB NAS NA FACEBOOK</t>
        </is>
      </c>
    </row>
    <row r="3" ht="8" customHeight="1"/>
    <row r="4" ht="28" customHeight="1">
      <c r="A4" s="4" t="inlineStr">
        <is>
          <t>📋 INSTRUKCJA OBSŁUGI</t>
        </is>
      </c>
    </row>
    <row r="5" ht="20" customHeight="1">
      <c r="A5" s="5" t="inlineStr">
        <is>
          <t>1. Ten arkusz służy do śledzenia budżetu adaptacji lokalu mieszkalnego/komercyjnego.</t>
        </is>
      </c>
    </row>
    <row r="6" ht="20" customHeight="1">
      <c r="A6" s="5" t="inlineStr">
        <is>
          <t>2. POLA ZIELONE (Ilość, Cena jednostkowa, Koszt rzeczywisty) - możesz dowolnie edytować.</t>
        </is>
      </c>
    </row>
    <row r="7" ht="20" customHeight="1">
      <c r="A7" s="5" t="inlineStr">
        <is>
          <t>3. POLA ŻÓŁTE (Budżet, Odchylenie, %) - formuły obliczane automatycznie - NIE EDYTUJ.</t>
        </is>
      </c>
    </row>
    <row r="8" ht="20" customHeight="1">
      <c r="A8" s="5" t="inlineStr">
        <is>
          <t>4. Wpisuj koszty rzeczywiste w kolumnie G w miarę postępu prac.</t>
        </is>
      </c>
    </row>
    <row r="9" ht="20" customHeight="1">
      <c r="A9" s="5" t="inlineStr">
        <is>
          <t>5. Kolumna H (Odchylenie) i I (%) pokażą różnicę między planem a rzeczywistością.</t>
        </is>
      </c>
    </row>
    <row r="10" ht="20" customHeight="1">
      <c r="A10" s="5" t="inlineStr">
        <is>
          <t>6. 🟢 ZIELONY = oszczędności (wydałeś mniej) | 🔴 CZERWONY = przekroczenie budżetu</t>
        </is>
      </c>
    </row>
    <row r="11" ht="15" customHeight="1"/>
    <row r="12" ht="35" customHeight="1">
      <c r="A12" s="6" t="inlineStr">
        <is>
          <t>CAPEX TRACKER - Apartament 80m² (Comfort/Premium)</t>
        </is>
      </c>
    </row>
    <row r="13" ht="25" customHeight="1">
      <c r="A13" s="7" t="inlineStr">
        <is>
          <t>Space Creators | Estymacja budżetu adaptacji lokalu | 2026</t>
        </is>
      </c>
    </row>
    <row r="15" ht="30" customHeight="1">
      <c r="A15" s="8" t="inlineStr">
        <is>
          <t>#</t>
        </is>
      </c>
      <c r="B15" s="8" t="inlineStr">
        <is>
          <t>POZYCJA</t>
        </is>
      </c>
      <c r="C15" s="8" t="inlineStr">
        <is>
          <t>JEDNOSTKA</t>
        </is>
      </c>
      <c r="D15" s="8" t="inlineStr">
        <is>
          <t>ILOŚĆ</t>
        </is>
      </c>
      <c r="E15" s="8" t="inlineStr">
        <is>
          <t>CENA JEDN.</t>
        </is>
      </c>
      <c r="F15" s="8" t="inlineStr">
        <is>
          <t>BUDŻET</t>
        </is>
      </c>
      <c r="G15" s="8" t="inlineStr">
        <is>
          <t>RZECZYWISTE</t>
        </is>
      </c>
      <c r="H15" s="8" t="inlineStr">
        <is>
          <t>ODCHYLENIE</t>
        </is>
      </c>
      <c r="I15" s="8" t="inlineStr">
        <is>
          <t>%</t>
        </is>
      </c>
    </row>
    <row r="16" ht="28" customHeight="1">
      <c r="A16" s="9" t="inlineStr">
        <is>
          <t>1. PRACE PRZYGOTOWAWCZE</t>
        </is>
      </c>
    </row>
    <row r="17" ht="22" customHeight="1">
      <c r="A17" s="10" t="n">
        <v>1</v>
      </c>
      <c r="B17" s="11" t="inlineStr">
        <is>
          <t>Inwentaryzacja i projekt koncepcyjny</t>
        </is>
      </c>
      <c r="C17" s="10" t="inlineStr">
        <is>
          <t>kpl</t>
        </is>
      </c>
      <c r="D17" s="12" t="n">
        <v>1</v>
      </c>
      <c r="E17" s="13" t="n">
        <v>8000</v>
      </c>
      <c r="F17" s="14">
        <f>D17*E17</f>
        <v/>
      </c>
      <c r="G17" s="13" t="n">
        <v>0</v>
      </c>
      <c r="H17" s="14">
        <f>G17-F17</f>
        <v/>
      </c>
      <c r="I17" s="15">
        <f>IF(G17=0,"—",IF(F17=0,"—",(G17-F17)/F17))</f>
        <v/>
      </c>
    </row>
    <row r="18" ht="22" customHeight="1">
      <c r="A18" s="10" t="n">
        <v>2</v>
      </c>
      <c r="B18" s="11" t="inlineStr">
        <is>
          <t>Projekt wykonawczy (architektura + instalacje)</t>
        </is>
      </c>
      <c r="C18" s="10" t="inlineStr">
        <is>
          <t>kpl</t>
        </is>
      </c>
      <c r="D18" s="12" t="n">
        <v>1</v>
      </c>
      <c r="E18" s="13" t="n">
        <v>15000</v>
      </c>
      <c r="F18" s="14">
        <f>D18*E18</f>
        <v/>
      </c>
      <c r="G18" s="13" t="n">
        <v>0</v>
      </c>
      <c r="H18" s="14">
        <f>G18-F18</f>
        <v/>
      </c>
      <c r="I18" s="15">
        <f>IF(G18=0,"—",IF(F18=0,"—",(G18-F18)/F18))</f>
        <v/>
      </c>
    </row>
    <row r="19" ht="22" customHeight="1">
      <c r="A19" s="10" t="n">
        <v>3</v>
      </c>
      <c r="B19" s="11" t="inlineStr">
        <is>
          <t>Pozwolenia i uzgodnienia</t>
        </is>
      </c>
      <c r="C19" s="10" t="inlineStr">
        <is>
          <t>kpl</t>
        </is>
      </c>
      <c r="D19" s="12" t="n">
        <v>1</v>
      </c>
      <c r="E19" s="13" t="n">
        <v>3000</v>
      </c>
      <c r="F19" s="14">
        <f>D19*E19</f>
        <v/>
      </c>
      <c r="G19" s="13" t="n">
        <v>0</v>
      </c>
      <c r="H19" s="14">
        <f>G19-F19</f>
        <v/>
      </c>
      <c r="I19" s="15">
        <f>IF(G19=0,"—",IF(F19=0,"—",(G19-F19)/F19))</f>
        <v/>
      </c>
    </row>
    <row r="20" ht="22" customHeight="1">
      <c r="A20" s="10" t="n">
        <v>4</v>
      </c>
      <c r="B20" s="11" t="inlineStr">
        <is>
          <t>Zabezpieczenie lokalu na czas prac</t>
        </is>
      </c>
      <c r="C20" s="10" t="inlineStr">
        <is>
          <t>kpl</t>
        </is>
      </c>
      <c r="D20" s="12" t="n">
        <v>1</v>
      </c>
      <c r="E20" s="13" t="n">
        <v>2500</v>
      </c>
      <c r="F20" s="14">
        <f>D20*E20</f>
        <v/>
      </c>
      <c r="G20" s="13" t="n">
        <v>0</v>
      </c>
      <c r="H20" s="14">
        <f>G20-F20</f>
        <v/>
      </c>
      <c r="I20" s="15">
        <f>IF(G20=0,"—",IF(F20=0,"—",(G20-F20)/F20))</f>
        <v/>
      </c>
    </row>
    <row r="21" ht="28" customHeight="1">
      <c r="A21" s="9" t="inlineStr">
        <is>
          <t>2. PRACE ROZBIÓRKOWE I DEMONTAŻOWE</t>
        </is>
      </c>
    </row>
    <row r="22" ht="22" customHeight="1">
      <c r="A22" s="10" t="n">
        <v>5</v>
      </c>
      <c r="B22" s="11" t="inlineStr">
        <is>
          <t>Demontaż starych instalacji</t>
        </is>
      </c>
      <c r="C22" s="10" t="inlineStr">
        <is>
          <t>kpl</t>
        </is>
      </c>
      <c r="D22" s="12" t="n">
        <v>1</v>
      </c>
      <c r="E22" s="13" t="n">
        <v>4500</v>
      </c>
      <c r="F22" s="14">
        <f>D22*E22</f>
        <v/>
      </c>
      <c r="G22" s="13" t="n">
        <v>0</v>
      </c>
      <c r="H22" s="14">
        <f>G22-F22</f>
        <v/>
      </c>
      <c r="I22" s="15">
        <f>IF(G22=0,"—",IF(F22=0,"—",(G22-F22)/F22))</f>
        <v/>
      </c>
    </row>
    <row r="23" ht="22" customHeight="1">
      <c r="A23" s="10" t="n">
        <v>6</v>
      </c>
      <c r="B23" s="11" t="inlineStr">
        <is>
          <t>Skucie tynków i posadzek</t>
        </is>
      </c>
      <c r="C23" s="10" t="inlineStr">
        <is>
          <t>m²</t>
        </is>
      </c>
      <c r="D23" s="12" t="n">
        <v>80</v>
      </c>
      <c r="E23" s="13" t="n">
        <v>45</v>
      </c>
      <c r="F23" s="14">
        <f>D23*E23</f>
        <v/>
      </c>
      <c r="G23" s="13" t="n">
        <v>0</v>
      </c>
      <c r="H23" s="14">
        <f>G23-F23</f>
        <v/>
      </c>
      <c r="I23" s="15">
        <f>IF(G23=0,"—",IF(F23=0,"—",(G23-F23)/F23))</f>
        <v/>
      </c>
    </row>
    <row r="24" ht="22" customHeight="1">
      <c r="A24" s="10" t="n">
        <v>7</v>
      </c>
      <c r="B24" s="11" t="inlineStr">
        <is>
          <t>Wywóz gruzu i utylizacja</t>
        </is>
      </c>
      <c r="C24" s="10" t="inlineStr">
        <is>
          <t>kpl</t>
        </is>
      </c>
      <c r="D24" s="12" t="n">
        <v>1</v>
      </c>
      <c r="E24" s="13" t="n">
        <v>3500</v>
      </c>
      <c r="F24" s="14">
        <f>D24*E24</f>
        <v/>
      </c>
      <c r="G24" s="13" t="n">
        <v>0</v>
      </c>
      <c r="H24" s="14">
        <f>G24-F24</f>
        <v/>
      </c>
      <c r="I24" s="15">
        <f>IF(G24=0,"—",IF(F24=0,"—",(G24-F24)/F24))</f>
        <v/>
      </c>
    </row>
    <row r="25" ht="22" customHeight="1">
      <c r="A25" s="10" t="n">
        <v>8</v>
      </c>
      <c r="B25" s="11" t="inlineStr">
        <is>
          <t>Demontaż stolarki drzwiowej</t>
        </is>
      </c>
      <c r="C25" s="10" t="inlineStr">
        <is>
          <t>szt</t>
        </is>
      </c>
      <c r="D25" s="12" t="n">
        <v>6</v>
      </c>
      <c r="E25" s="13" t="n">
        <v>150</v>
      </c>
      <c r="F25" s="14">
        <f>D25*E25</f>
        <v/>
      </c>
      <c r="G25" s="13" t="n">
        <v>0</v>
      </c>
      <c r="H25" s="14">
        <f>G25-F25</f>
        <v/>
      </c>
      <c r="I25" s="15">
        <f>IF(G25=0,"—",IF(F25=0,"—",(G25-F25)/F25))</f>
        <v/>
      </c>
    </row>
    <row r="26" ht="28" customHeight="1">
      <c r="A26" s="9" t="inlineStr">
        <is>
          <t>3. INSTALACJA ELEKTRYCZNA</t>
        </is>
      </c>
    </row>
    <row r="27" ht="22" customHeight="1">
      <c r="A27" s="10" t="n">
        <v>9</v>
      </c>
      <c r="B27" s="11" t="inlineStr">
        <is>
          <t>Nowa instalacja elektryczna kompletna</t>
        </is>
      </c>
      <c r="C27" s="10" t="inlineStr">
        <is>
          <t>pkt</t>
        </is>
      </c>
      <c r="D27" s="12" t="n">
        <v>65</v>
      </c>
      <c r="E27" s="13" t="n">
        <v>280</v>
      </c>
      <c r="F27" s="14">
        <f>D27*E27</f>
        <v/>
      </c>
      <c r="G27" s="13" t="n">
        <v>0</v>
      </c>
      <c r="H27" s="14">
        <f>G27-F27</f>
        <v/>
      </c>
      <c r="I27" s="15">
        <f>IF(G27=0,"—",IF(F27=0,"—",(G27-F27)/F27))</f>
        <v/>
      </c>
    </row>
    <row r="28" ht="22" customHeight="1">
      <c r="A28" s="10" t="n">
        <v>10</v>
      </c>
      <c r="B28" s="11" t="inlineStr">
        <is>
          <t>Rozdzielnia elektryczna</t>
        </is>
      </c>
      <c r="C28" s="10" t="inlineStr">
        <is>
          <t>kpl</t>
        </is>
      </c>
      <c r="D28" s="12" t="n">
        <v>1</v>
      </c>
      <c r="E28" s="13" t="n">
        <v>4500</v>
      </c>
      <c r="F28" s="14">
        <f>D28*E28</f>
        <v/>
      </c>
      <c r="G28" s="13" t="n">
        <v>0</v>
      </c>
      <c r="H28" s="14">
        <f>G28-F28</f>
        <v/>
      </c>
      <c r="I28" s="15">
        <f>IF(G28=0,"—",IF(F28=0,"—",(G28-F28)/F28))</f>
        <v/>
      </c>
    </row>
    <row r="29" ht="22" customHeight="1">
      <c r="A29" s="10" t="n">
        <v>11</v>
      </c>
      <c r="B29" s="11" t="inlineStr">
        <is>
          <t>Oświetlenie LED (punkty + taśmy)</t>
        </is>
      </c>
      <c r="C29" s="10" t="inlineStr">
        <is>
          <t>kpl</t>
        </is>
      </c>
      <c r="D29" s="12" t="n">
        <v>1</v>
      </c>
      <c r="E29" s="13" t="n">
        <v>12000</v>
      </c>
      <c r="F29" s="14">
        <f>D29*E29</f>
        <v/>
      </c>
      <c r="G29" s="13" t="n">
        <v>0</v>
      </c>
      <c r="H29" s="14">
        <f>G29-F29</f>
        <v/>
      </c>
      <c r="I29" s="15">
        <f>IF(G29=0,"—",IF(F29=0,"—",(G29-F29)/F29))</f>
        <v/>
      </c>
    </row>
    <row r="30" ht="22" customHeight="1">
      <c r="A30" s="10" t="n">
        <v>12</v>
      </c>
      <c r="B30" s="11" t="inlineStr">
        <is>
          <t>Inteligentny dom - podstawa</t>
        </is>
      </c>
      <c r="C30" s="10" t="inlineStr">
        <is>
          <t>kpl</t>
        </is>
      </c>
      <c r="D30" s="12" t="n">
        <v>1</v>
      </c>
      <c r="E30" s="13" t="n">
        <v>8000</v>
      </c>
      <c r="F30" s="14">
        <f>D30*E30</f>
        <v/>
      </c>
      <c r="G30" s="13" t="n">
        <v>0</v>
      </c>
      <c r="H30" s="14">
        <f>G30-F30</f>
        <v/>
      </c>
      <c r="I30" s="15">
        <f>IF(G30=0,"—",IF(F30=0,"—",(G30-F30)/F30))</f>
        <v/>
      </c>
    </row>
    <row r="31" ht="22" customHeight="1">
      <c r="A31" s="10" t="n">
        <v>13</v>
      </c>
      <c r="B31" s="11" t="inlineStr">
        <is>
          <t>Instalacja pod klimatyzację</t>
        </is>
      </c>
      <c r="C31" s="10" t="inlineStr">
        <is>
          <t>pkt</t>
        </is>
      </c>
      <c r="D31" s="12" t="n">
        <v>3</v>
      </c>
      <c r="E31" s="13" t="n">
        <v>800</v>
      </c>
      <c r="F31" s="14">
        <f>D31*E31</f>
        <v/>
      </c>
      <c r="G31" s="13" t="n">
        <v>0</v>
      </c>
      <c r="H31" s="14">
        <f>G31-F31</f>
        <v/>
      </c>
      <c r="I31" s="15">
        <f>IF(G31=0,"—",IF(F31=0,"—",(G31-F31)/F31))</f>
        <v/>
      </c>
    </row>
    <row r="32" ht="28" customHeight="1">
      <c r="A32" s="9" t="inlineStr">
        <is>
          <t>4. INSTALACJA WODNO-KANALIZACYJNA</t>
        </is>
      </c>
    </row>
    <row r="33" ht="22" customHeight="1">
      <c r="A33" s="10" t="n">
        <v>14</v>
      </c>
      <c r="B33" s="11" t="inlineStr">
        <is>
          <t>Wymiana pionów i poziomów</t>
        </is>
      </c>
      <c r="C33" s="10" t="inlineStr">
        <is>
          <t>kpl</t>
        </is>
      </c>
      <c r="D33" s="12" t="n">
        <v>1</v>
      </c>
      <c r="E33" s="13" t="n">
        <v>8000</v>
      </c>
      <c r="F33" s="14">
        <f>D33*E33</f>
        <v/>
      </c>
      <c r="G33" s="13" t="n">
        <v>0</v>
      </c>
      <c r="H33" s="14">
        <f>G33-F33</f>
        <v/>
      </c>
      <c r="I33" s="15">
        <f>IF(G33=0,"—",IF(F33=0,"—",(G33-F33)/F33))</f>
        <v/>
      </c>
    </row>
    <row r="34" ht="22" customHeight="1">
      <c r="A34" s="10" t="n">
        <v>15</v>
      </c>
      <c r="B34" s="11" t="inlineStr">
        <is>
          <t>Punkty wodno-kanalizacyjne</t>
        </is>
      </c>
      <c r="C34" s="10" t="inlineStr">
        <is>
          <t>pkt</t>
        </is>
      </c>
      <c r="D34" s="12" t="n">
        <v>12</v>
      </c>
      <c r="E34" s="13" t="n">
        <v>650</v>
      </c>
      <c r="F34" s="14">
        <f>D34*E34</f>
        <v/>
      </c>
      <c r="G34" s="13" t="n">
        <v>0</v>
      </c>
      <c r="H34" s="14">
        <f>G34-F34</f>
        <v/>
      </c>
      <c r="I34" s="15">
        <f>IF(G34=0,"—",IF(F34=0,"—",(G34-F34)/F34))</f>
        <v/>
      </c>
    </row>
    <row r="35" ht="22" customHeight="1">
      <c r="A35" s="10" t="n">
        <v>16</v>
      </c>
      <c r="B35" s="11" t="inlineStr">
        <is>
          <t>Podejścia pod armaturę</t>
        </is>
      </c>
      <c r="C35" s="10" t="inlineStr">
        <is>
          <t>kpl</t>
        </is>
      </c>
      <c r="D35" s="12" t="n">
        <v>1</v>
      </c>
      <c r="E35" s="13" t="n">
        <v>3500</v>
      </c>
      <c r="F35" s="14">
        <f>D35*E35</f>
        <v/>
      </c>
      <c r="G35" s="13" t="n">
        <v>0</v>
      </c>
      <c r="H35" s="14">
        <f>G35-F35</f>
        <v/>
      </c>
      <c r="I35" s="15">
        <f>IF(G35=0,"—",IF(F35=0,"—",(G35-F35)/F35))</f>
        <v/>
      </c>
    </row>
    <row r="36" ht="22" customHeight="1">
      <c r="A36" s="10" t="n">
        <v>17</v>
      </c>
      <c r="B36" s="11" t="inlineStr">
        <is>
          <t>Instalacja pod pralkę/zmywarkę</t>
        </is>
      </c>
      <c r="C36" s="10" t="inlineStr">
        <is>
          <t>kpl</t>
        </is>
      </c>
      <c r="D36" s="12" t="n">
        <v>1</v>
      </c>
      <c r="E36" s="13" t="n">
        <v>1200</v>
      </c>
      <c r="F36" s="14">
        <f>D36*E36</f>
        <v/>
      </c>
      <c r="G36" s="13" t="n">
        <v>0</v>
      </c>
      <c r="H36" s="14">
        <f>G36-F36</f>
        <v/>
      </c>
      <c r="I36" s="15">
        <f>IF(G36=0,"—",IF(F36=0,"—",(G36-F36)/F36))</f>
        <v/>
      </c>
    </row>
    <row r="37" ht="28" customHeight="1">
      <c r="A37" s="9" t="inlineStr">
        <is>
          <t>5. OGRZEWANIE I KLIMATYZACJA</t>
        </is>
      </c>
    </row>
    <row r="38" ht="22" customHeight="1">
      <c r="A38" s="10" t="n">
        <v>18</v>
      </c>
      <c r="B38" s="11" t="inlineStr">
        <is>
          <t>Ogrzewanie podłogowe</t>
        </is>
      </c>
      <c r="C38" s="10" t="inlineStr">
        <is>
          <t>m²</t>
        </is>
      </c>
      <c r="D38" s="12" t="n">
        <v>60</v>
      </c>
      <c r="E38" s="13" t="n">
        <v>180</v>
      </c>
      <c r="F38" s="14">
        <f>D38*E38</f>
        <v/>
      </c>
      <c r="G38" s="13" t="n">
        <v>0</v>
      </c>
      <c r="H38" s="14">
        <f>G38-F38</f>
        <v/>
      </c>
      <c r="I38" s="15">
        <f>IF(G38=0,"—",IF(F38=0,"—",(G38-F38)/F38))</f>
        <v/>
      </c>
    </row>
    <row r="39" ht="22" customHeight="1">
      <c r="A39" s="10" t="n">
        <v>19</v>
      </c>
      <c r="B39" s="11" t="inlineStr">
        <is>
          <t>Klimatyzacja multi-split (3 jednostki)</t>
        </is>
      </c>
      <c r="C39" s="10" t="inlineStr">
        <is>
          <t>kpl</t>
        </is>
      </c>
      <c r="D39" s="12" t="n">
        <v>1</v>
      </c>
      <c r="E39" s="13" t="n">
        <v>18000</v>
      </c>
      <c r="F39" s="14">
        <f>D39*E39</f>
        <v/>
      </c>
      <c r="G39" s="13" t="n">
        <v>0</v>
      </c>
      <c r="H39" s="14">
        <f>G39-F39</f>
        <v/>
      </c>
      <c r="I39" s="15">
        <f>IF(G39=0,"—",IF(F39=0,"—",(G39-F39)/F39))</f>
        <v/>
      </c>
    </row>
    <row r="40" ht="22" customHeight="1">
      <c r="A40" s="10" t="n">
        <v>20</v>
      </c>
      <c r="B40" s="11" t="inlineStr">
        <is>
          <t>Grzejniki dekoracyjne (łazienki)</t>
        </is>
      </c>
      <c r="C40" s="10" t="inlineStr">
        <is>
          <t>szt</t>
        </is>
      </c>
      <c r="D40" s="12" t="n">
        <v>2</v>
      </c>
      <c r="E40" s="13" t="n">
        <v>2800</v>
      </c>
      <c r="F40" s="14">
        <f>D40*E40</f>
        <v/>
      </c>
      <c r="G40" s="13" t="n">
        <v>0</v>
      </c>
      <c r="H40" s="14">
        <f>G40-F40</f>
        <v/>
      </c>
      <c r="I40" s="15">
        <f>IF(G40=0,"—",IF(F40=0,"—",(G40-F40)/F40))</f>
        <v/>
      </c>
    </row>
    <row r="41" ht="22" customHeight="1">
      <c r="A41" s="10" t="n">
        <v>21</v>
      </c>
      <c r="B41" s="11" t="inlineStr">
        <is>
          <t>Automatyka i sterowanie</t>
        </is>
      </c>
      <c r="C41" s="10" t="inlineStr">
        <is>
          <t>kpl</t>
        </is>
      </c>
      <c r="D41" s="12" t="n">
        <v>1</v>
      </c>
      <c r="E41" s="13" t="n">
        <v>3500</v>
      </c>
      <c r="F41" s="14">
        <f>D41*E41</f>
        <v/>
      </c>
      <c r="G41" s="13" t="n">
        <v>0</v>
      </c>
      <c r="H41" s="14">
        <f>G41-F41</f>
        <v/>
      </c>
      <c r="I41" s="15">
        <f>IF(G41=0,"—",IF(F41=0,"—",(G41-F41)/F41))</f>
        <v/>
      </c>
    </row>
    <row r="42" ht="28" customHeight="1">
      <c r="A42" s="9" t="inlineStr">
        <is>
          <t>6. TYNKI I WYLEWKI</t>
        </is>
      </c>
    </row>
    <row r="43" ht="22" customHeight="1">
      <c r="A43" s="10" t="n">
        <v>22</v>
      </c>
      <c r="B43" s="11" t="inlineStr">
        <is>
          <t>Tynki maszynowe gipsowe</t>
        </is>
      </c>
      <c r="C43" s="10" t="inlineStr">
        <is>
          <t>m²</t>
        </is>
      </c>
      <c r="D43" s="12" t="n">
        <v>220</v>
      </c>
      <c r="E43" s="13" t="n">
        <v>55</v>
      </c>
      <c r="F43" s="14">
        <f>D43*E43</f>
        <v/>
      </c>
      <c r="G43" s="13" t="n">
        <v>0</v>
      </c>
      <c r="H43" s="14">
        <f>G43-F43</f>
        <v/>
      </c>
      <c r="I43" s="15">
        <f>IF(G43=0,"—",IF(F43=0,"—",(G43-F43)/F43))</f>
        <v/>
      </c>
    </row>
    <row r="44" ht="22" customHeight="1">
      <c r="A44" s="10" t="n">
        <v>23</v>
      </c>
      <c r="B44" s="11" t="inlineStr">
        <is>
          <t>Wylewki anhydrytowe</t>
        </is>
      </c>
      <c r="C44" s="10" t="inlineStr">
        <is>
          <t>m²</t>
        </is>
      </c>
      <c r="D44" s="12" t="n">
        <v>80</v>
      </c>
      <c r="E44" s="13" t="n">
        <v>75</v>
      </c>
      <c r="F44" s="14">
        <f>D44*E44</f>
        <v/>
      </c>
      <c r="G44" s="13" t="n">
        <v>0</v>
      </c>
      <c r="H44" s="14">
        <f>G44-F44</f>
        <v/>
      </c>
      <c r="I44" s="15">
        <f>IF(G44=0,"—",IF(F44=0,"—",(G44-F44)/F44))</f>
        <v/>
      </c>
    </row>
    <row r="45" ht="22" customHeight="1">
      <c r="A45" s="10" t="n">
        <v>24</v>
      </c>
      <c r="B45" s="11" t="inlineStr">
        <is>
          <t>Gładzie gipsowe Q3/Q4</t>
        </is>
      </c>
      <c r="C45" s="10" t="inlineStr">
        <is>
          <t>m²</t>
        </is>
      </c>
      <c r="D45" s="12" t="n">
        <v>220</v>
      </c>
      <c r="E45" s="13" t="n">
        <v>35</v>
      </c>
      <c r="F45" s="14">
        <f>D45*E45</f>
        <v/>
      </c>
      <c r="G45" s="13" t="n">
        <v>0</v>
      </c>
      <c r="H45" s="14">
        <f>G45-F45</f>
        <v/>
      </c>
      <c r="I45" s="15">
        <f>IF(G45=0,"—",IF(F45=0,"—",(G45-F45)/F45))</f>
        <v/>
      </c>
    </row>
    <row r="46" ht="22" customHeight="1">
      <c r="A46" s="10" t="n">
        <v>25</v>
      </c>
      <c r="B46" s="11" t="inlineStr">
        <is>
          <t>Izolacja akustyczna podłóg</t>
        </is>
      </c>
      <c r="C46" s="10" t="inlineStr">
        <is>
          <t>m²</t>
        </is>
      </c>
      <c r="D46" s="12" t="n">
        <v>80</v>
      </c>
      <c r="E46" s="13" t="n">
        <v>45</v>
      </c>
      <c r="F46" s="14">
        <f>D46*E46</f>
        <v/>
      </c>
      <c r="G46" s="13" t="n">
        <v>0</v>
      </c>
      <c r="H46" s="14">
        <f>G46-F46</f>
        <v/>
      </c>
      <c r="I46" s="15">
        <f>IF(G46=0,"—",IF(F46=0,"—",(G46-F46)/F46))</f>
        <v/>
      </c>
    </row>
    <row r="47" ht="28" customHeight="1">
      <c r="A47" s="9" t="inlineStr">
        <is>
          <t>7. STOLARKA OKIENNA I DRZWIOWA</t>
        </is>
      </c>
    </row>
    <row r="48" ht="22" customHeight="1">
      <c r="A48" s="10" t="n">
        <v>26</v>
      </c>
      <c r="B48" s="11" t="inlineStr">
        <is>
          <t>Drzwi wewnętrzne bezprzylgowe</t>
        </is>
      </c>
      <c r="C48" s="10" t="inlineStr">
        <is>
          <t>szt</t>
        </is>
      </c>
      <c r="D48" s="12" t="n">
        <v>5</v>
      </c>
      <c r="E48" s="13" t="n">
        <v>2800</v>
      </c>
      <c r="F48" s="14">
        <f>D48*E48</f>
        <v/>
      </c>
      <c r="G48" s="13" t="n">
        <v>0</v>
      </c>
      <c r="H48" s="14">
        <f>G48-F48</f>
        <v/>
      </c>
      <c r="I48" s="15">
        <f>IF(G48=0,"—",IF(F48=0,"—",(G48-F48)/F48))</f>
        <v/>
      </c>
    </row>
    <row r="49" ht="22" customHeight="1">
      <c r="A49" s="10" t="n">
        <v>27</v>
      </c>
      <c r="B49" s="11" t="inlineStr">
        <is>
          <t>Drzwi przesuwne szklane</t>
        </is>
      </c>
      <c r="C49" s="10" t="inlineStr">
        <is>
          <t>szt</t>
        </is>
      </c>
      <c r="D49" s="12" t="n">
        <v>1</v>
      </c>
      <c r="E49" s="13" t="n">
        <v>4500</v>
      </c>
      <c r="F49" s="14">
        <f>D49*E49</f>
        <v/>
      </c>
      <c r="G49" s="13" t="n">
        <v>0</v>
      </c>
      <c r="H49" s="14">
        <f>G49-F49</f>
        <v/>
      </c>
      <c r="I49" s="15">
        <f>IF(G49=0,"—",IF(F49=0,"—",(G49-F49)/F49))</f>
        <v/>
      </c>
    </row>
    <row r="50" ht="22" customHeight="1">
      <c r="A50" s="10" t="n">
        <v>28</v>
      </c>
      <c r="B50" s="11" t="inlineStr">
        <is>
          <t>Parapety wewnętrzne kompozyt</t>
        </is>
      </c>
      <c r="C50" s="10" t="inlineStr">
        <is>
          <t>mb</t>
        </is>
      </c>
      <c r="D50" s="12" t="n">
        <v>8</v>
      </c>
      <c r="E50" s="13" t="n">
        <v>450</v>
      </c>
      <c r="F50" s="14">
        <f>D50*E50</f>
        <v/>
      </c>
      <c r="G50" s="13" t="n">
        <v>0</v>
      </c>
      <c r="H50" s="14">
        <f>G50-F50</f>
        <v/>
      </c>
      <c r="I50" s="15">
        <f>IF(G50=0,"—",IF(F50=0,"—",(G50-F50)/F50))</f>
        <v/>
      </c>
    </row>
    <row r="51" ht="22" customHeight="1">
      <c r="A51" s="10" t="n">
        <v>29</v>
      </c>
      <c r="B51" s="11" t="inlineStr">
        <is>
          <t>System szklanych ścianek</t>
        </is>
      </c>
      <c r="C51" s="10" t="inlineStr">
        <is>
          <t>m²</t>
        </is>
      </c>
      <c r="D51" s="12" t="n">
        <v>4</v>
      </c>
      <c r="E51" s="13" t="n">
        <v>1800</v>
      </c>
      <c r="F51" s="14">
        <f>D51*E51</f>
        <v/>
      </c>
      <c r="G51" s="13" t="n">
        <v>0</v>
      </c>
      <c r="H51" s="14">
        <f>G51-F51</f>
        <v/>
      </c>
      <c r="I51" s="15">
        <f>IF(G51=0,"—",IF(F51=0,"—",(G51-F51)/F51))</f>
        <v/>
      </c>
    </row>
    <row r="52" ht="28" customHeight="1">
      <c r="A52" s="9" t="inlineStr">
        <is>
          <t>8. PODŁOGI</t>
        </is>
      </c>
    </row>
    <row r="53" ht="22" customHeight="1">
      <c r="A53" s="10" t="n">
        <v>30</v>
      </c>
      <c r="B53" s="11" t="inlineStr">
        <is>
          <t>Panele SPC premium (salon, sypialnie)</t>
        </is>
      </c>
      <c r="C53" s="10" t="inlineStr">
        <is>
          <t>m²</t>
        </is>
      </c>
      <c r="D53" s="12" t="n">
        <v>55</v>
      </c>
      <c r="E53" s="13" t="n">
        <v>180</v>
      </c>
      <c r="F53" s="14">
        <f>D53*E53</f>
        <v/>
      </c>
      <c r="G53" s="13" t="n">
        <v>0</v>
      </c>
      <c r="H53" s="14">
        <f>G53-F53</f>
        <v/>
      </c>
      <c r="I53" s="15">
        <f>IF(G53=0,"—",IF(F53=0,"—",(G53-F53)/F53))</f>
        <v/>
      </c>
    </row>
    <row r="54" ht="22" customHeight="1">
      <c r="A54" s="10" t="n">
        <v>31</v>
      </c>
      <c r="B54" s="11" t="inlineStr">
        <is>
          <t>Płytki gresowe 60x120 (łazienki, hol)</t>
        </is>
      </c>
      <c r="C54" s="10" t="inlineStr">
        <is>
          <t>m²</t>
        </is>
      </c>
      <c r="D54" s="12" t="n">
        <v>25</v>
      </c>
      <c r="E54" s="13" t="n">
        <v>280</v>
      </c>
      <c r="F54" s="14">
        <f>D54*E54</f>
        <v/>
      </c>
      <c r="G54" s="13" t="n">
        <v>0</v>
      </c>
      <c r="H54" s="14">
        <f>G54-F54</f>
        <v/>
      </c>
      <c r="I54" s="15">
        <f>IF(G54=0,"—",IF(F54=0,"—",(G54-F54)/F54))</f>
        <v/>
      </c>
    </row>
    <row r="55" ht="22" customHeight="1">
      <c r="A55" s="10" t="n">
        <v>32</v>
      </c>
      <c r="B55" s="11" t="inlineStr">
        <is>
          <t>Listwy przypodłogowe aluminiowe</t>
        </is>
      </c>
      <c r="C55" s="10" t="inlineStr">
        <is>
          <t>mb</t>
        </is>
      </c>
      <c r="D55" s="12" t="n">
        <v>85</v>
      </c>
      <c r="E55" s="13" t="n">
        <v>65</v>
      </c>
      <c r="F55" s="14">
        <f>D55*E55</f>
        <v/>
      </c>
      <c r="G55" s="13" t="n">
        <v>0</v>
      </c>
      <c r="H55" s="14">
        <f>G55-F55</f>
        <v/>
      </c>
      <c r="I55" s="15">
        <f>IF(G55=0,"—",IF(F55=0,"—",(G55-F55)/F55))</f>
        <v/>
      </c>
    </row>
    <row r="56" ht="22" customHeight="1">
      <c r="A56" s="10" t="n">
        <v>33</v>
      </c>
      <c r="B56" s="11" t="inlineStr">
        <is>
          <t>Progi i łączniki</t>
        </is>
      </c>
      <c r="C56" s="10" t="inlineStr">
        <is>
          <t>kpl</t>
        </is>
      </c>
      <c r="D56" s="12" t="n">
        <v>1</v>
      </c>
      <c r="E56" s="13" t="n">
        <v>1200</v>
      </c>
      <c r="F56" s="14">
        <f>D56*E56</f>
        <v/>
      </c>
      <c r="G56" s="13" t="n">
        <v>0</v>
      </c>
      <c r="H56" s="14">
        <f>G56-F56</f>
        <v/>
      </c>
      <c r="I56" s="15">
        <f>IF(G56=0,"—",IF(F56=0,"—",(G56-F56)/F56))</f>
        <v/>
      </c>
    </row>
    <row r="57" ht="28" customHeight="1">
      <c r="A57" s="9" t="inlineStr">
        <is>
          <t>9. ŚCIANY I SUFITY</t>
        </is>
      </c>
    </row>
    <row r="58" ht="22" customHeight="1">
      <c r="A58" s="10" t="n">
        <v>34</v>
      </c>
      <c r="B58" s="11" t="inlineStr">
        <is>
          <t>Malowanie ścian (farby premium)</t>
        </is>
      </c>
      <c r="C58" s="10" t="inlineStr">
        <is>
          <t>m²</t>
        </is>
      </c>
      <c r="D58" s="12" t="n">
        <v>220</v>
      </c>
      <c r="E58" s="13" t="n">
        <v>28</v>
      </c>
      <c r="F58" s="14">
        <f>D58*E58</f>
        <v/>
      </c>
      <c r="G58" s="13" t="n">
        <v>0</v>
      </c>
      <c r="H58" s="14">
        <f>G58-F58</f>
        <v/>
      </c>
      <c r="I58" s="15">
        <f>IF(G58=0,"—",IF(F58=0,"—",(G58-F58)/F58))</f>
        <v/>
      </c>
    </row>
    <row r="59" ht="22" customHeight="1">
      <c r="A59" s="10" t="n">
        <v>35</v>
      </c>
      <c r="B59" s="11" t="inlineStr">
        <is>
          <t>Tapeta dekoracyjna (akcenty)</t>
        </is>
      </c>
      <c r="C59" s="10" t="inlineStr">
        <is>
          <t>m²</t>
        </is>
      </c>
      <c r="D59" s="12" t="n">
        <v>15</v>
      </c>
      <c r="E59" s="13" t="n">
        <v>180</v>
      </c>
      <c r="F59" s="14">
        <f>D59*E59</f>
        <v/>
      </c>
      <c r="G59" s="13" t="n">
        <v>0</v>
      </c>
      <c r="H59" s="14">
        <f>G59-F59</f>
        <v/>
      </c>
      <c r="I59" s="15">
        <f>IF(G59=0,"—",IF(F59=0,"—",(G59-F59)/F59))</f>
        <v/>
      </c>
    </row>
    <row r="60" ht="22" customHeight="1">
      <c r="A60" s="10" t="n">
        <v>36</v>
      </c>
      <c r="B60" s="11" t="inlineStr">
        <is>
          <t>Sufit podwieszany LED</t>
        </is>
      </c>
      <c r="C60" s="10" t="inlineStr">
        <is>
          <t>m²</t>
        </is>
      </c>
      <c r="D60" s="12" t="n">
        <v>30</v>
      </c>
      <c r="E60" s="13" t="n">
        <v>220</v>
      </c>
      <c r="F60" s="14">
        <f>D60*E60</f>
        <v/>
      </c>
      <c r="G60" s="13" t="n">
        <v>0</v>
      </c>
      <c r="H60" s="14">
        <f>G60-F60</f>
        <v/>
      </c>
      <c r="I60" s="15">
        <f>IF(G60=0,"—",IF(F60=0,"—",(G60-F60)/F60))</f>
        <v/>
      </c>
    </row>
    <row r="61" ht="22" customHeight="1">
      <c r="A61" s="10" t="n">
        <v>37</v>
      </c>
      <c r="B61" s="11" t="inlineStr">
        <is>
          <t>Sztukateria i listwy dekoracyjne</t>
        </is>
      </c>
      <c r="C61" s="10" t="inlineStr">
        <is>
          <t>mb</t>
        </is>
      </c>
      <c r="D61" s="12" t="n">
        <v>45</v>
      </c>
      <c r="E61" s="13" t="n">
        <v>85</v>
      </c>
      <c r="F61" s="14">
        <f>D61*E61</f>
        <v/>
      </c>
      <c r="G61" s="13" t="n">
        <v>0</v>
      </c>
      <c r="H61" s="14">
        <f>G61-F61</f>
        <v/>
      </c>
      <c r="I61" s="15">
        <f>IF(G61=0,"—",IF(F61=0,"—",(G61-F61)/F61))</f>
        <v/>
      </c>
    </row>
    <row r="62" ht="28" customHeight="1">
      <c r="A62" s="9" t="inlineStr">
        <is>
          <t>10. ŁAZIENKA GŁÓWNA</t>
        </is>
      </c>
    </row>
    <row r="63" ht="22" customHeight="1">
      <c r="A63" s="10" t="n">
        <v>38</v>
      </c>
      <c r="B63" s="11" t="inlineStr">
        <is>
          <t>Wanna wolnostojąca</t>
        </is>
      </c>
      <c r="C63" s="10" t="inlineStr">
        <is>
          <t>szt</t>
        </is>
      </c>
      <c r="D63" s="12" t="n">
        <v>1</v>
      </c>
      <c r="E63" s="13" t="n">
        <v>6500</v>
      </c>
      <c r="F63" s="14">
        <f>D63*E63</f>
        <v/>
      </c>
      <c r="G63" s="13" t="n">
        <v>0</v>
      </c>
      <c r="H63" s="14">
        <f>G63-F63</f>
        <v/>
      </c>
      <c r="I63" s="15">
        <f>IF(G63=0,"—",IF(F63=0,"—",(G63-F63)/F63))</f>
        <v/>
      </c>
    </row>
    <row r="64" ht="22" customHeight="1">
      <c r="A64" s="10" t="n">
        <v>39</v>
      </c>
      <c r="B64" s="11" t="inlineStr">
        <is>
          <t>Deszczownica + zestaw prysznicowy</t>
        </is>
      </c>
      <c r="C64" s="10" t="inlineStr">
        <is>
          <t>kpl</t>
        </is>
      </c>
      <c r="D64" s="12" t="n">
        <v>1</v>
      </c>
      <c r="E64" s="13" t="n">
        <v>4200</v>
      </c>
      <c r="F64" s="14">
        <f>D64*E64</f>
        <v/>
      </c>
      <c r="G64" s="13" t="n">
        <v>0</v>
      </c>
      <c r="H64" s="14">
        <f>G64-F64</f>
        <v/>
      </c>
      <c r="I64" s="15">
        <f>IF(G64=0,"—",IF(F64=0,"—",(G64-F64)/F64))</f>
        <v/>
      </c>
    </row>
    <row r="65" ht="22" customHeight="1">
      <c r="A65" s="10" t="n">
        <v>40</v>
      </c>
      <c r="B65" s="11" t="inlineStr">
        <is>
          <t>Umywalka nablatowa + szafka</t>
        </is>
      </c>
      <c r="C65" s="10" t="inlineStr">
        <is>
          <t>kpl</t>
        </is>
      </c>
      <c r="D65" s="12" t="n">
        <v>1</v>
      </c>
      <c r="E65" s="13" t="n">
        <v>5500</v>
      </c>
      <c r="F65" s="14">
        <f>D65*E65</f>
        <v/>
      </c>
      <c r="G65" s="13" t="n">
        <v>0</v>
      </c>
      <c r="H65" s="14">
        <f>G65-F65</f>
        <v/>
      </c>
      <c r="I65" s="15">
        <f>IF(G65=0,"—",IF(F65=0,"—",(G65-F65)/F65))</f>
        <v/>
      </c>
    </row>
    <row r="66" ht="22" customHeight="1">
      <c r="A66" s="10" t="n">
        <v>41</v>
      </c>
      <c r="B66" s="11" t="inlineStr">
        <is>
          <t>WC podwieszane premium</t>
        </is>
      </c>
      <c r="C66" s="10" t="inlineStr">
        <is>
          <t>kpl</t>
        </is>
      </c>
      <c r="D66" s="12" t="n">
        <v>1</v>
      </c>
      <c r="E66" s="13" t="n">
        <v>3800</v>
      </c>
      <c r="F66" s="14">
        <f>D66*E66</f>
        <v/>
      </c>
      <c r="G66" s="13" t="n">
        <v>0</v>
      </c>
      <c r="H66" s="14">
        <f>G66-F66</f>
        <v/>
      </c>
      <c r="I66" s="15">
        <f>IF(G66=0,"—",IF(F66=0,"—",(G66-F66)/F66))</f>
        <v/>
      </c>
    </row>
    <row r="67" ht="22" customHeight="1">
      <c r="A67" s="10" t="n">
        <v>42</v>
      </c>
      <c r="B67" s="11" t="inlineStr">
        <is>
          <t>Armatura (baterie premium)</t>
        </is>
      </c>
      <c r="C67" s="10" t="inlineStr">
        <is>
          <t>kpl</t>
        </is>
      </c>
      <c r="D67" s="12" t="n">
        <v>1</v>
      </c>
      <c r="E67" s="13" t="n">
        <v>4500</v>
      </c>
      <c r="F67" s="14">
        <f>D67*E67</f>
        <v/>
      </c>
      <c r="G67" s="13" t="n">
        <v>0</v>
      </c>
      <c r="H67" s="14">
        <f>G67-F67</f>
        <v/>
      </c>
      <c r="I67" s="15">
        <f>IF(G67=0,"—",IF(F67=0,"—",(G67-F67)/F67))</f>
        <v/>
      </c>
    </row>
    <row r="68" ht="22" customHeight="1">
      <c r="A68" s="10" t="n">
        <v>43</v>
      </c>
      <c r="B68" s="11" t="inlineStr">
        <is>
          <t>Lustro podświetlane LED</t>
        </is>
      </c>
      <c r="C68" s="10" t="inlineStr">
        <is>
          <t>szt</t>
        </is>
      </c>
      <c r="D68" s="12" t="n">
        <v>1</v>
      </c>
      <c r="E68" s="13" t="n">
        <v>2800</v>
      </c>
      <c r="F68" s="14">
        <f>D68*E68</f>
        <v/>
      </c>
      <c r="G68" s="13" t="n">
        <v>0</v>
      </c>
      <c r="H68" s="14">
        <f>G68-F68</f>
        <v/>
      </c>
      <c r="I68" s="15">
        <f>IF(G68=0,"—",IF(F68=0,"—",(G68-F68)/F68))</f>
        <v/>
      </c>
    </row>
    <row r="69" ht="28" customHeight="1">
      <c r="A69" s="9" t="inlineStr">
        <is>
          <t>11. ŁAZIENKA GOŚCI / PRALNIA</t>
        </is>
      </c>
    </row>
    <row r="70" ht="22" customHeight="1">
      <c r="A70" s="10" t="n">
        <v>44</v>
      </c>
      <c r="B70" s="11" t="inlineStr">
        <is>
          <t>Kabina prysznicowa walk-in</t>
        </is>
      </c>
      <c r="C70" s="10" t="inlineStr">
        <is>
          <t>kpl</t>
        </is>
      </c>
      <c r="D70" s="12" t="n">
        <v>1</v>
      </c>
      <c r="E70" s="13" t="n">
        <v>4500</v>
      </c>
      <c r="F70" s="14">
        <f>D70*E70</f>
        <v/>
      </c>
      <c r="G70" s="13" t="n">
        <v>0</v>
      </c>
      <c r="H70" s="14">
        <f>G70-F70</f>
        <v/>
      </c>
      <c r="I70" s="15">
        <f>IF(G70=0,"—",IF(F70=0,"—",(G70-F70)/F70))</f>
        <v/>
      </c>
    </row>
    <row r="71" ht="22" customHeight="1">
      <c r="A71" s="10" t="n">
        <v>45</v>
      </c>
      <c r="B71" s="11" t="inlineStr">
        <is>
          <t>Umywalka z szafką</t>
        </is>
      </c>
      <c r="C71" s="10" t="inlineStr">
        <is>
          <t>kpl</t>
        </is>
      </c>
      <c r="D71" s="12" t="n">
        <v>1</v>
      </c>
      <c r="E71" s="13" t="n">
        <v>3200</v>
      </c>
      <c r="F71" s="14">
        <f>D71*E71</f>
        <v/>
      </c>
      <c r="G71" s="13" t="n">
        <v>0</v>
      </c>
      <c r="H71" s="14">
        <f>G71-F71</f>
        <v/>
      </c>
      <c r="I71" s="15">
        <f>IF(G71=0,"—",IF(F71=0,"—",(G71-F71)/F71))</f>
        <v/>
      </c>
    </row>
    <row r="72" ht="22" customHeight="1">
      <c r="A72" s="10" t="n">
        <v>46</v>
      </c>
      <c r="B72" s="11" t="inlineStr">
        <is>
          <t>WC podwieszane</t>
        </is>
      </c>
      <c r="C72" s="10" t="inlineStr">
        <is>
          <t>kpl</t>
        </is>
      </c>
      <c r="D72" s="12" t="n">
        <v>1</v>
      </c>
      <c r="E72" s="13" t="n">
        <v>2500</v>
      </c>
      <c r="F72" s="14">
        <f>D72*E72</f>
        <v/>
      </c>
      <c r="G72" s="13" t="n">
        <v>0</v>
      </c>
      <c r="H72" s="14">
        <f>G72-F72</f>
        <v/>
      </c>
      <c r="I72" s="15">
        <f>IF(G72=0,"—",IF(F72=0,"—",(G72-F72)/F72))</f>
        <v/>
      </c>
    </row>
    <row r="73" ht="22" customHeight="1">
      <c r="A73" s="10" t="n">
        <v>47</v>
      </c>
      <c r="B73" s="11" t="inlineStr">
        <is>
          <t>Armatura</t>
        </is>
      </c>
      <c r="C73" s="10" t="inlineStr">
        <is>
          <t>kpl</t>
        </is>
      </c>
      <c r="D73" s="12" t="n">
        <v>1</v>
      </c>
      <c r="E73" s="13" t="n">
        <v>2800</v>
      </c>
      <c r="F73" s="14">
        <f>D73*E73</f>
        <v/>
      </c>
      <c r="G73" s="13" t="n">
        <v>0</v>
      </c>
      <c r="H73" s="14">
        <f>G73-F73</f>
        <v/>
      </c>
      <c r="I73" s="15">
        <f>IF(G73=0,"—",IF(F73=0,"—",(G73-F73)/F73))</f>
        <v/>
      </c>
    </row>
    <row r="74" ht="22" customHeight="1">
      <c r="A74" s="10" t="n">
        <v>48</v>
      </c>
      <c r="B74" s="11" t="inlineStr">
        <is>
          <t>Zabudowa pralki/suszarki</t>
        </is>
      </c>
      <c r="C74" s="10" t="inlineStr">
        <is>
          <t>kpl</t>
        </is>
      </c>
      <c r="D74" s="12" t="n">
        <v>1</v>
      </c>
      <c r="E74" s="13" t="n">
        <v>4500</v>
      </c>
      <c r="F74" s="14">
        <f>D74*E74</f>
        <v/>
      </c>
      <c r="G74" s="13" t="n">
        <v>0</v>
      </c>
      <c r="H74" s="14">
        <f>G74-F74</f>
        <v/>
      </c>
      <c r="I74" s="15">
        <f>IF(G74=0,"—",IF(F74=0,"—",(G74-F74)/F74))</f>
        <v/>
      </c>
    </row>
    <row r="75" ht="28" customHeight="1">
      <c r="A75" s="9" t="inlineStr">
        <is>
          <t>12. KUCHNIA</t>
        </is>
      </c>
    </row>
    <row r="76" ht="22" customHeight="1">
      <c r="A76" s="10" t="n">
        <v>49</v>
      </c>
      <c r="B76" s="11" t="inlineStr">
        <is>
          <t>Zabudowa kuchenna na wymiar</t>
        </is>
      </c>
      <c r="C76" s="10" t="inlineStr">
        <is>
          <t>mb</t>
        </is>
      </c>
      <c r="D76" s="12" t="n">
        <v>6</v>
      </c>
      <c r="E76" s="13" t="n">
        <v>5500</v>
      </c>
      <c r="F76" s="14">
        <f>D76*E76</f>
        <v/>
      </c>
      <c r="G76" s="13" t="n">
        <v>0</v>
      </c>
      <c r="H76" s="14">
        <f>G76-F76</f>
        <v/>
      </c>
      <c r="I76" s="15">
        <f>IF(G76=0,"—",IF(F76=0,"—",(G76-F76)/F76))</f>
        <v/>
      </c>
    </row>
    <row r="77" ht="22" customHeight="1">
      <c r="A77" s="10" t="n">
        <v>50</v>
      </c>
      <c r="B77" s="11" t="inlineStr">
        <is>
          <t>Blat kompozytowy/kwarc</t>
        </is>
      </c>
      <c r="C77" s="10" t="inlineStr">
        <is>
          <t>mb</t>
        </is>
      </c>
      <c r="D77" s="12" t="n">
        <v>4</v>
      </c>
      <c r="E77" s="13" t="n">
        <v>1800</v>
      </c>
      <c r="F77" s="14">
        <f>D77*E77</f>
        <v/>
      </c>
      <c r="G77" s="13" t="n">
        <v>0</v>
      </c>
      <c r="H77" s="14">
        <f>G77-F77</f>
        <v/>
      </c>
      <c r="I77" s="15">
        <f>IF(G77=0,"—",IF(F77=0,"—",(G77-F77)/F77))</f>
        <v/>
      </c>
    </row>
    <row r="78" ht="22" customHeight="1">
      <c r="A78" s="10" t="n">
        <v>51</v>
      </c>
      <c r="B78" s="11" t="inlineStr">
        <is>
          <t>AGD zabudowane (premium)</t>
        </is>
      </c>
      <c r="C78" s="10" t="inlineStr">
        <is>
          <t>kpl</t>
        </is>
      </c>
      <c r="D78" s="12" t="n">
        <v>1</v>
      </c>
      <c r="E78" s="13" t="n">
        <v>25000</v>
      </c>
      <c r="F78" s="14">
        <f>D78*E78</f>
        <v/>
      </c>
      <c r="G78" s="13" t="n">
        <v>0</v>
      </c>
      <c r="H78" s="14">
        <f>G78-F78</f>
        <v/>
      </c>
      <c r="I78" s="15">
        <f>IF(G78=0,"—",IF(F78=0,"—",(G78-F78)/F78))</f>
        <v/>
      </c>
    </row>
    <row r="79" ht="22" customHeight="1">
      <c r="A79" s="10" t="n">
        <v>52</v>
      </c>
      <c r="B79" s="11" t="inlineStr">
        <is>
          <t>Zlew podwieszany + bateria</t>
        </is>
      </c>
      <c r="C79" s="10" t="inlineStr">
        <is>
          <t>kpl</t>
        </is>
      </c>
      <c r="D79" s="12" t="n">
        <v>1</v>
      </c>
      <c r="E79" s="13" t="n">
        <v>3500</v>
      </c>
      <c r="F79" s="14">
        <f>D79*E79</f>
        <v/>
      </c>
      <c r="G79" s="13" t="n">
        <v>0</v>
      </c>
      <c r="H79" s="14">
        <f>G79-F79</f>
        <v/>
      </c>
      <c r="I79" s="15">
        <f>IF(G79=0,"—",IF(F79=0,"—",(G79-F79)/F79))</f>
        <v/>
      </c>
    </row>
    <row r="80" ht="22" customHeight="1">
      <c r="A80" s="10" t="n">
        <v>53</v>
      </c>
      <c r="B80" s="11" t="inlineStr">
        <is>
          <t>Oświetlenie robocze LED</t>
        </is>
      </c>
      <c r="C80" s="10" t="inlineStr">
        <is>
          <t>kpl</t>
        </is>
      </c>
      <c r="D80" s="12" t="n">
        <v>1</v>
      </c>
      <c r="E80" s="13" t="n">
        <v>2200</v>
      </c>
      <c r="F80" s="14">
        <f>D80*E80</f>
        <v/>
      </c>
      <c r="G80" s="13" t="n">
        <v>0</v>
      </c>
      <c r="H80" s="14">
        <f>G80-F80</f>
        <v/>
      </c>
      <c r="I80" s="15">
        <f>IF(G80=0,"—",IF(F80=0,"—",(G80-F80)/F80))</f>
        <v/>
      </c>
    </row>
    <row r="81" ht="28" customHeight="1">
      <c r="A81" s="9" t="inlineStr">
        <is>
          <t>13. ZABUDOWY I SZAFY</t>
        </is>
      </c>
    </row>
    <row r="82" ht="22" customHeight="1">
      <c r="A82" s="10" t="n">
        <v>54</v>
      </c>
      <c r="B82" s="11" t="inlineStr">
        <is>
          <t>Szafa wnękowa garderoba</t>
        </is>
      </c>
      <c r="C82" s="10" t="inlineStr">
        <is>
          <t>m²</t>
        </is>
      </c>
      <c r="D82" s="12" t="n">
        <v>8</v>
      </c>
      <c r="E82" s="13" t="n">
        <v>1800</v>
      </c>
      <c r="F82" s="14">
        <f>D82*E82</f>
        <v/>
      </c>
      <c r="G82" s="13" t="n">
        <v>0</v>
      </c>
      <c r="H82" s="14">
        <f>G82-F82</f>
        <v/>
      </c>
      <c r="I82" s="15">
        <f>IF(G82=0,"—",IF(F82=0,"—",(G82-F82)/F82))</f>
        <v/>
      </c>
    </row>
    <row r="83" ht="22" customHeight="1">
      <c r="A83" s="10" t="n">
        <v>55</v>
      </c>
      <c r="B83" s="11" t="inlineStr">
        <is>
          <t>Szafy wnękowe (sypialnie)</t>
        </is>
      </c>
      <c r="C83" s="10" t="inlineStr">
        <is>
          <t>m²</t>
        </is>
      </c>
      <c r="D83" s="12" t="n">
        <v>6</v>
      </c>
      <c r="E83" s="13" t="n">
        <v>1600</v>
      </c>
      <c r="F83" s="14">
        <f>D83*E83</f>
        <v/>
      </c>
      <c r="G83" s="13" t="n">
        <v>0</v>
      </c>
      <c r="H83" s="14">
        <f>G83-F83</f>
        <v/>
      </c>
      <c r="I83" s="15">
        <f>IF(G83=0,"—",IF(F83=0,"—",(G83-F83)/F83))</f>
        <v/>
      </c>
    </row>
    <row r="84" ht="22" customHeight="1">
      <c r="A84" s="10" t="n">
        <v>56</v>
      </c>
      <c r="B84" s="11" t="inlineStr">
        <is>
          <t>Zabudowa przedpokoju</t>
        </is>
      </c>
      <c r="C84" s="10" t="inlineStr">
        <is>
          <t>kpl</t>
        </is>
      </c>
      <c r="D84" s="12" t="n">
        <v>1</v>
      </c>
      <c r="E84" s="13" t="n">
        <v>8500</v>
      </c>
      <c r="F84" s="14">
        <f>D84*E84</f>
        <v/>
      </c>
      <c r="G84" s="13" t="n">
        <v>0</v>
      </c>
      <c r="H84" s="14">
        <f>G84-F84</f>
        <v/>
      </c>
      <c r="I84" s="15">
        <f>IF(G84=0,"—",IF(F84=0,"—",(G84-F84)/F84))</f>
        <v/>
      </c>
    </row>
    <row r="85" ht="22" customHeight="1">
      <c r="A85" s="10" t="n">
        <v>57</v>
      </c>
      <c r="B85" s="11" t="inlineStr">
        <is>
          <t>Wnęka RTV/kominek</t>
        </is>
      </c>
      <c r="C85" s="10" t="inlineStr">
        <is>
          <t>kpl</t>
        </is>
      </c>
      <c r="D85" s="12" t="n">
        <v>1</v>
      </c>
      <c r="E85" s="13" t="n">
        <v>6500</v>
      </c>
      <c r="F85" s="14">
        <f>D85*E85</f>
        <v/>
      </c>
      <c r="G85" s="13" t="n">
        <v>0</v>
      </c>
      <c r="H85" s="14">
        <f>G85-F85</f>
        <v/>
      </c>
      <c r="I85" s="15">
        <f>IF(G85=0,"—",IF(F85=0,"—",(G85-F85)/F85))</f>
        <v/>
      </c>
    </row>
    <row r="86" ht="28" customHeight="1">
      <c r="A86" s="9" t="inlineStr">
        <is>
          <t>14. WYPOSAŻENIE DODATKOWE</t>
        </is>
      </c>
    </row>
    <row r="87" ht="22" customHeight="1">
      <c r="A87" s="10" t="n">
        <v>58</v>
      </c>
      <c r="B87" s="11" t="inlineStr">
        <is>
          <t>Kominek elektryczny premium</t>
        </is>
      </c>
      <c r="C87" s="10" t="inlineStr">
        <is>
          <t>szt</t>
        </is>
      </c>
      <c r="D87" s="12" t="n">
        <v>1</v>
      </c>
      <c r="E87" s="13" t="n">
        <v>8000</v>
      </c>
      <c r="F87" s="14">
        <f>D87*E87</f>
        <v/>
      </c>
      <c r="G87" s="13" t="n">
        <v>0</v>
      </c>
      <c r="H87" s="14">
        <f>G87-F87</f>
        <v/>
      </c>
      <c r="I87" s="15">
        <f>IF(G87=0,"—",IF(F87=0,"—",(G87-F87)/F87))</f>
        <v/>
      </c>
    </row>
    <row r="88" ht="22" customHeight="1">
      <c r="A88" s="10" t="n">
        <v>59</v>
      </c>
      <c r="B88" s="11" t="inlineStr">
        <is>
          <t>Rolety wewnętrzne elektryczne</t>
        </is>
      </c>
      <c r="C88" s="10" t="inlineStr">
        <is>
          <t>szt</t>
        </is>
      </c>
      <c r="D88" s="12" t="n">
        <v>6</v>
      </c>
      <c r="E88" s="13" t="n">
        <v>1800</v>
      </c>
      <c r="F88" s="14">
        <f>D88*E88</f>
        <v/>
      </c>
      <c r="G88" s="13" t="n">
        <v>0</v>
      </c>
      <c r="H88" s="14">
        <f>G88-F88</f>
        <v/>
      </c>
      <c r="I88" s="15">
        <f>IF(G88=0,"—",IF(F88=0,"—",(G88-F88)/F88))</f>
        <v/>
      </c>
    </row>
    <row r="89" ht="22" customHeight="1">
      <c r="A89" s="10" t="n">
        <v>60</v>
      </c>
      <c r="B89" s="11" t="inlineStr">
        <is>
          <t>Karnisze elektryczne</t>
        </is>
      </c>
      <c r="C89" s="10" t="inlineStr">
        <is>
          <t>szt</t>
        </is>
      </c>
      <c r="D89" s="12" t="n">
        <v>3</v>
      </c>
      <c r="E89" s="13" t="n">
        <v>2200</v>
      </c>
      <c r="F89" s="14">
        <f>D89*E89</f>
        <v/>
      </c>
      <c r="G89" s="13" t="n">
        <v>0</v>
      </c>
      <c r="H89" s="14">
        <f>G89-F89</f>
        <v/>
      </c>
      <c r="I89" s="15">
        <f>IF(G89=0,"—",IF(F89=0,"—",(G89-F89)/F89))</f>
        <v/>
      </c>
    </row>
    <row r="90" ht="22" customHeight="1">
      <c r="A90" s="10" t="n">
        <v>61</v>
      </c>
      <c r="B90" s="11" t="inlineStr">
        <is>
          <t>System audio multiroom</t>
        </is>
      </c>
      <c r="C90" s="10" t="inlineStr">
        <is>
          <t>kpl</t>
        </is>
      </c>
      <c r="D90" s="12" t="n">
        <v>1</v>
      </c>
      <c r="E90" s="13" t="n">
        <v>8000</v>
      </c>
      <c r="F90" s="14">
        <f>D90*E90</f>
        <v/>
      </c>
      <c r="G90" s="13" t="n">
        <v>0</v>
      </c>
      <c r="H90" s="14">
        <f>G90-F90</f>
        <v/>
      </c>
      <c r="I90" s="15">
        <f>IF(G90=0,"—",IF(F90=0,"—",(G90-F90)/F90))</f>
        <v/>
      </c>
    </row>
    <row r="91" ht="28" customHeight="1">
      <c r="A91" s="9" t="inlineStr">
        <is>
          <t>15. PRACE WYKOŃCZENIOWE</t>
        </is>
      </c>
    </row>
    <row r="92" ht="22" customHeight="1">
      <c r="A92" s="10" t="n">
        <v>62</v>
      </c>
      <c r="B92" s="11" t="inlineStr">
        <is>
          <t>Montaż osprzętu elektrycznego (premium)</t>
        </is>
      </c>
      <c r="C92" s="10" t="inlineStr">
        <is>
          <t>kpl</t>
        </is>
      </c>
      <c r="D92" s="12" t="n">
        <v>1</v>
      </c>
      <c r="E92" s="13" t="n">
        <v>6500</v>
      </c>
      <c r="F92" s="14">
        <f>D92*E92</f>
        <v/>
      </c>
      <c r="G92" s="13" t="n">
        <v>0</v>
      </c>
      <c r="H92" s="14">
        <f>G92-F92</f>
        <v/>
      </c>
      <c r="I92" s="15">
        <f>IF(G92=0,"—",IF(F92=0,"—",(G92-F92)/F92))</f>
        <v/>
      </c>
    </row>
    <row r="93" ht="22" customHeight="1">
      <c r="A93" s="10" t="n">
        <v>63</v>
      </c>
      <c r="B93" s="11" t="inlineStr">
        <is>
          <t>Montaż oświetlenia</t>
        </is>
      </c>
      <c r="C93" s="10" t="inlineStr">
        <is>
          <t>kpl</t>
        </is>
      </c>
      <c r="D93" s="12" t="n">
        <v>1</v>
      </c>
      <c r="E93" s="13" t="n">
        <v>4500</v>
      </c>
      <c r="F93" s="14">
        <f>D93*E93</f>
        <v/>
      </c>
      <c r="G93" s="13" t="n">
        <v>0</v>
      </c>
      <c r="H93" s="14">
        <f>G93-F93</f>
        <v/>
      </c>
      <c r="I93" s="15">
        <f>IF(G93=0,"—",IF(F93=0,"—",(G93-F93)/F93))</f>
        <v/>
      </c>
    </row>
    <row r="94" ht="22" customHeight="1">
      <c r="A94" s="10" t="n">
        <v>64</v>
      </c>
      <c r="B94" s="11" t="inlineStr">
        <is>
          <t>Uszczelnienia i silikony</t>
        </is>
      </c>
      <c r="C94" s="10" t="inlineStr">
        <is>
          <t>kpl</t>
        </is>
      </c>
      <c r="D94" s="12" t="n">
        <v>1</v>
      </c>
      <c r="E94" s="13" t="n">
        <v>1500</v>
      </c>
      <c r="F94" s="14">
        <f>D94*E94</f>
        <v/>
      </c>
      <c r="G94" s="13" t="n">
        <v>0</v>
      </c>
      <c r="H94" s="14">
        <f>G94-F94</f>
        <v/>
      </c>
      <c r="I94" s="15">
        <f>IF(G94=0,"—",IF(F94=0,"—",(G94-F94)/F94))</f>
        <v/>
      </c>
    </row>
    <row r="95" ht="22" customHeight="1">
      <c r="A95" s="10" t="n">
        <v>65</v>
      </c>
      <c r="B95" s="11" t="inlineStr">
        <is>
          <t>Sprzątanie pobudowlane</t>
        </is>
      </c>
      <c r="C95" s="10" t="inlineStr">
        <is>
          <t>kpl</t>
        </is>
      </c>
      <c r="D95" s="12" t="n">
        <v>1</v>
      </c>
      <c r="E95" s="13" t="n">
        <v>2000</v>
      </c>
      <c r="F95" s="14">
        <f>D95*E95</f>
        <v/>
      </c>
      <c r="G95" s="13" t="n">
        <v>0</v>
      </c>
      <c r="H95" s="14">
        <f>G95-F95</f>
        <v/>
      </c>
      <c r="I95" s="15">
        <f>IF(G95=0,"—",IF(F95=0,"—",(G95-F95)/F95))</f>
        <v/>
      </c>
    </row>
    <row r="96" ht="28" customHeight="1">
      <c r="A96" s="9" t="inlineStr">
        <is>
          <t>16. NADZÓR I KOORDYNACJA</t>
        </is>
      </c>
    </row>
    <row r="97" ht="22" customHeight="1">
      <c r="A97" s="10" t="n">
        <v>66</v>
      </c>
      <c r="B97" s="11" t="inlineStr">
        <is>
          <t>Nadzór inwestorski</t>
        </is>
      </c>
      <c r="C97" s="10" t="inlineStr">
        <is>
          <t>kpl</t>
        </is>
      </c>
      <c r="D97" s="12" t="n">
        <v>1</v>
      </c>
      <c r="E97" s="13" t="n">
        <v>12000</v>
      </c>
      <c r="F97" s="14">
        <f>D97*E97</f>
        <v/>
      </c>
      <c r="G97" s="13" t="n">
        <v>0</v>
      </c>
      <c r="H97" s="14">
        <f>G97-F97</f>
        <v/>
      </c>
      <c r="I97" s="15">
        <f>IF(G97=0,"—",IF(F97=0,"—",(G97-F97)/F97))</f>
        <v/>
      </c>
    </row>
    <row r="98" ht="22" customHeight="1">
      <c r="A98" s="10" t="n">
        <v>67</v>
      </c>
      <c r="B98" s="11" t="inlineStr">
        <is>
          <t>Koordynacja wykonawców</t>
        </is>
      </c>
      <c r="C98" s="10" t="inlineStr">
        <is>
          <t>kpl</t>
        </is>
      </c>
      <c r="D98" s="12" t="n">
        <v>1</v>
      </c>
      <c r="E98" s="13" t="n">
        <v>8000</v>
      </c>
      <c r="F98" s="14">
        <f>D98*E98</f>
        <v/>
      </c>
      <c r="G98" s="13" t="n">
        <v>0</v>
      </c>
      <c r="H98" s="14">
        <f>G98-F98</f>
        <v/>
      </c>
      <c r="I98" s="15">
        <f>IF(G98=0,"—",IF(F98=0,"—",(G98-F98)/F98))</f>
        <v/>
      </c>
    </row>
    <row r="99" ht="22" customHeight="1">
      <c r="A99" s="10" t="n">
        <v>68</v>
      </c>
      <c r="B99" s="11" t="inlineStr">
        <is>
          <t>Dokumentacja powykonawcza</t>
        </is>
      </c>
      <c r="C99" s="10" t="inlineStr">
        <is>
          <t>kpl</t>
        </is>
      </c>
      <c r="D99" s="12" t="n">
        <v>1</v>
      </c>
      <c r="E99" s="13" t="n">
        <v>3000</v>
      </c>
      <c r="F99" s="14">
        <f>D99*E99</f>
        <v/>
      </c>
      <c r="G99" s="13" t="n">
        <v>0</v>
      </c>
      <c r="H99" s="14">
        <f>G99-F99</f>
        <v/>
      </c>
      <c r="I99" s="15">
        <f>IF(G99=0,"—",IF(F99=0,"—",(G99-F99)/F99))</f>
        <v/>
      </c>
    </row>
    <row r="100" ht="22" customHeight="1">
      <c r="A100" s="10" t="n">
        <v>69</v>
      </c>
      <c r="B100" s="11" t="inlineStr">
        <is>
          <t>Rezerwa na nieprzewidziane (5%)</t>
        </is>
      </c>
      <c r="C100" s="10" t="inlineStr">
        <is>
          <t>kpl</t>
        </is>
      </c>
      <c r="D100" s="12" t="n">
        <v>1</v>
      </c>
      <c r="E100" s="13" t="n">
        <v>24000</v>
      </c>
      <c r="F100" s="14">
        <f>D100*E100</f>
        <v/>
      </c>
      <c r="G100" s="13" t="n">
        <v>0</v>
      </c>
      <c r="H100" s="14">
        <f>G100-F100</f>
        <v/>
      </c>
      <c r="I100" s="15">
        <f>IF(G100=0,"—",IF(F100=0,"—",(G100-F100)/F100))</f>
        <v/>
      </c>
    </row>
    <row r="102" ht="35" customHeight="1">
      <c r="A102" s="16" t="inlineStr">
        <is>
          <t>RAZEM BUDŻET:</t>
        </is>
      </c>
      <c r="F102" s="17">
        <f>SUMIF(F16:F100,"&gt;0")</f>
        <v/>
      </c>
      <c r="G102" s="17">
        <f>SUM(G16:G100)</f>
        <v/>
      </c>
      <c r="H102" s="17">
        <f>G102-F102</f>
        <v/>
      </c>
      <c r="I102" s="18">
        <f>IF(G102=0,"—",IF(F102=0,"—",(G102-F102)/F102))</f>
        <v/>
      </c>
    </row>
    <row r="105">
      <c r="A105" s="19" t="inlineStr">
        <is>
          <t>LEGENDA:</t>
        </is>
      </c>
    </row>
    <row r="106">
      <c r="A106" s="20" t="inlineStr">
        <is>
          <t>🟢 Pola zielone = możesz edytować (ILOŚĆ, CENA JEDNOSTKOWA, KOSZT RZECZYWISTY)</t>
        </is>
      </c>
    </row>
    <row r="107">
      <c r="A107" s="21" t="inlineStr">
        <is>
          <t>🟡 Pola żółte = formuły automatyczne (BUDŻET, ODCHYLENIE, %) - zablokowane</t>
        </is>
      </c>
    </row>
    <row r="108">
      <c r="A108" s="22" t="inlineStr">
        <is>
          <t>🟢 CIEMNOZIELONE tło = OSZCZĘDNOŚCI (wydałeś mniej niż planowałeś)</t>
        </is>
      </c>
    </row>
    <row r="109">
      <c r="A109" s="23" t="inlineStr">
        <is>
          <t>🔴 CZERWONE tło = PRZEKROCZENIE BUDŻETU (wydałeś więcej niż planowałeś)</t>
        </is>
      </c>
    </row>
    <row r="112">
      <c r="A112" s="24" t="inlineStr">
        <is>
          <t>KLAUZULA PRAWNA I WARUNKI UŻYTKOWANIA</t>
        </is>
      </c>
    </row>
    <row r="113" ht="18" customHeight="1">
      <c r="A113" s="25" t="inlineStr">
        <is>
          <t>1. Niniejszy dokument stanowi własność intelektualną Space Creators i jest chroniony prawem autorskim.</t>
        </is>
      </c>
    </row>
    <row r="114" ht="18" customHeight="1">
      <c r="A114" s="25" t="inlineStr">
        <is>
          <t>2. Estymacje kosztów mają charakter orientacyjny i nie stanowią oferty handlowej w rozumieniu Kodeksu Cywilnego.</t>
        </is>
      </c>
    </row>
    <row r="115" ht="18" customHeight="1">
      <c r="A115" s="25" t="inlineStr">
        <is>
          <t>3. Zabrania się kopiowania, rozpowszechniania, odsprzedaży lub udostępniania tego dokumentu osobom trzecim bez pisemnej zgody Space Creators.</t>
        </is>
      </c>
    </row>
    <row r="116" ht="18" customHeight="1">
      <c r="A116" s="25" t="inlineStr">
        <is>
          <t>4. Użytkownik może modyfikować wartości w polach edytowalnych wyłącznie na własne potrzeby.</t>
        </is>
      </c>
    </row>
    <row r="117" ht="18" customHeight="1">
      <c r="A117" s="25" t="inlineStr">
        <is>
          <t>5. Space Creators nie ponosi odpowiedzialności za decyzje inwestycyjne podjęte na podstawie niniejszego dokumentu.</t>
        </is>
      </c>
    </row>
    <row r="118" ht="18" customHeight="1">
      <c r="A118" s="25" t="inlineStr">
        <is>
          <t>6. Rzeczywiste koszty mogą różnić się od estymacji w zależności od warunków rynkowych, lokalizacji i specyfikacji projektu.</t>
        </is>
      </c>
    </row>
    <row r="119" ht="18" customHeight="1">
      <c r="A119" s="25" t="inlineStr">
        <is>
          <t>7. Dokument jest przeznaczony wyłącznie do użytku osobistego przez osobę, która go otrzymała.</t>
        </is>
      </c>
    </row>
    <row r="120" ht="18" customHeight="1">
      <c r="A120" s="25" t="inlineStr">
        <is>
          <t>8. Naruszenie powyższych warunków może skutkować odpowiedzialnością prawną.</t>
        </is>
      </c>
    </row>
    <row r="123" ht="40" customHeight="1">
      <c r="A123" s="1" t="inlineStr">
        <is>
          <t>🏠 SPACE CREATORS - Tworzymy przestrzenie, które inspirują 🏠</t>
        </is>
      </c>
    </row>
    <row r="124" ht="32" customHeight="1">
      <c r="A124" s="26" t="inlineStr">
        <is>
          <t>🌐 spacecreators.pl</t>
        </is>
      </c>
      <c r="D124" s="27" t="inlineStr">
        <is>
          <t>📘 Facebook</t>
        </is>
      </c>
      <c r="G124" s="28" t="inlineStr">
        <is>
          <t>✉️ kontakt@spacecreators.pl</t>
        </is>
      </c>
    </row>
    <row r="126">
      <c r="A126" s="29" t="inlineStr">
        <is>
          <t>© 2026 Space Creators | Wszelkie prawa zastrzeżone</t>
        </is>
      </c>
    </row>
    <row r="127">
      <c r="A127" s="30" t="inlineStr">
        <is>
          <t>Hasło do odblokowania arkusza (tylko dla administratora): SpaceCreators2026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0E7"/>
  <mergeCells count="49">
    <mergeCell ref="A7:I7"/>
    <mergeCell ref="D124:F124"/>
    <mergeCell ref="A37:I37"/>
    <mergeCell ref="A75:I75"/>
    <mergeCell ref="A108:I108"/>
    <mergeCell ref="A118:I118"/>
    <mergeCell ref="A120:I120"/>
    <mergeCell ref="A105:I105"/>
    <mergeCell ref="A12:I12"/>
    <mergeCell ref="A26:I26"/>
    <mergeCell ref="A21:I21"/>
    <mergeCell ref="A86:I86"/>
    <mergeCell ref="G124:I124"/>
    <mergeCell ref="A57:I57"/>
    <mergeCell ref="A113:I113"/>
    <mergeCell ref="A47:I47"/>
    <mergeCell ref="A5:I5"/>
    <mergeCell ref="A42:I42"/>
    <mergeCell ref="A32:I32"/>
    <mergeCell ref="A116:I116"/>
    <mergeCell ref="A126:I126"/>
    <mergeCell ref="A8:I8"/>
    <mergeCell ref="A106:I106"/>
    <mergeCell ref="A91:I91"/>
    <mergeCell ref="A109:I109"/>
    <mergeCell ref="A4:I4"/>
    <mergeCell ref="A62:I62"/>
    <mergeCell ref="A96:I96"/>
    <mergeCell ref="A52:I52"/>
    <mergeCell ref="A81:I81"/>
    <mergeCell ref="A112:I112"/>
    <mergeCell ref="A10:I10"/>
    <mergeCell ref="A115:I115"/>
    <mergeCell ref="A117:I117"/>
    <mergeCell ref="A13:I13"/>
    <mergeCell ref="E2:I2"/>
    <mergeCell ref="A127:I127"/>
    <mergeCell ref="A9:I9"/>
    <mergeCell ref="A114:I114"/>
    <mergeCell ref="A107:I107"/>
    <mergeCell ref="A123:I123"/>
    <mergeCell ref="A1:I1"/>
    <mergeCell ref="A102:E102"/>
    <mergeCell ref="A124:C124"/>
    <mergeCell ref="A2:D2"/>
    <mergeCell ref="A6:I6"/>
    <mergeCell ref="A69:I69"/>
    <mergeCell ref="A119:I119"/>
    <mergeCell ref="A16:I16"/>
  </mergeCells>
  <conditionalFormatting sqref="H17:H100">
    <cfRule type="expression" priority="1" dxfId="0">
      <formula>AND(H17&lt;0,G17&gt;0)</formula>
    </cfRule>
    <cfRule type="expression" priority="2" dxfId="1">
      <formula>AND(H17&gt;0,G17&gt;0)</formula>
    </cfRule>
  </conditionalFormatting>
  <conditionalFormatting sqref="I17:I100">
    <cfRule type="expression" priority="3" dxfId="0">
      <formula>AND(ISNUMBER(I17),I17&lt;0)</formula>
    </cfRule>
    <cfRule type="expression" priority="4" dxfId="1">
      <formula>AND(ISNUMBER(I17),I17&gt;0)</formula>
    </cfRule>
  </conditionalFormatting>
  <conditionalFormatting sqref="H102:I102">
    <cfRule type="expression" priority="5" dxfId="0">
      <formula>AND(H102&lt;0,G102&gt;0)</formula>
    </cfRule>
    <cfRule type="expression" priority="6" dxfId="1">
      <formula>AND(H102&gt;0,G102&gt;0)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124" r:id="rId3"/>
    <hyperlink xmlns:r="http://schemas.openxmlformats.org/officeDocument/2006/relationships" ref="D124" r:id="rId4"/>
    <hyperlink xmlns:r="http://schemas.openxmlformats.org/officeDocument/2006/relationships" ref="G12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2026-02-02T18:20:09Z</dcterms:created>
  <dcterms:modified xmlns:dcterms="http://purl.org/dc/terms/" xmlns:xsi="http://www.w3.org/2001/XMLSchema-instance" xsi:type="dcterms:W3CDTF">2026-02-02T18:20:09Z</dcterms:modified>
</cp:coreProperties>
</file>